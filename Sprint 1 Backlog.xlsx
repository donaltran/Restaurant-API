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laze\Desktop\Final Project\Restaurant-API\"/>
    </mc:Choice>
  </mc:AlternateContent>
  <xr:revisionPtr revIDLastSave="0" documentId="13_ncr:1_{62D3F4E4-4BB3-491A-806D-96227B813DD7}" xr6:coauthVersionLast="47" xr6:coauthVersionMax="47" xr10:uidLastSave="{00000000-0000-0000-0000-000000000000}"/>
  <bookViews>
    <workbookView xWindow="3510" yWindow="3510" windowWidth="21600" windowHeight="11235" activeTab="1" xr2:uid="{00000000-000D-0000-FFFF-FFFF00000000}"/>
  </bookViews>
  <sheets>
    <sheet name="Sprint 1" sheetId="1" r:id="rId1"/>
    <sheet name="Sprin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L22" i="2"/>
  <c r="L17" i="2"/>
  <c r="L12" i="2"/>
  <c r="L7" i="2"/>
  <c r="J22" i="2"/>
  <c r="I22" i="2"/>
  <c r="H22" i="2"/>
  <c r="G22" i="2"/>
  <c r="F22" i="2"/>
  <c r="E22" i="2"/>
  <c r="D22" i="2"/>
  <c r="J17" i="2"/>
  <c r="I17" i="2"/>
  <c r="H17" i="2"/>
  <c r="G17" i="2"/>
  <c r="F17" i="2"/>
  <c r="E17" i="2"/>
  <c r="D17" i="2"/>
  <c r="J12" i="2"/>
  <c r="I12" i="2"/>
  <c r="H12" i="2"/>
  <c r="G12" i="2"/>
  <c r="F12" i="2"/>
  <c r="E12" i="2"/>
  <c r="D12" i="2"/>
  <c r="J7" i="2"/>
  <c r="I7" i="2"/>
  <c r="H7" i="2"/>
  <c r="G7" i="2"/>
  <c r="F7" i="2"/>
  <c r="E7" i="2"/>
  <c r="D7" i="2"/>
  <c r="J4" i="2"/>
  <c r="I4" i="2"/>
  <c r="H4" i="2"/>
  <c r="G4" i="2"/>
  <c r="F4" i="2"/>
  <c r="E4" i="2"/>
  <c r="D18" i="1"/>
  <c r="L28" i="1"/>
  <c r="J24" i="1"/>
  <c r="I24" i="1"/>
  <c r="H24" i="1"/>
  <c r="G24" i="1"/>
  <c r="F24" i="1"/>
  <c r="E24" i="1"/>
  <c r="D24" i="1"/>
  <c r="J18" i="1"/>
  <c r="I18" i="1"/>
  <c r="H18" i="1"/>
  <c r="G18" i="1"/>
  <c r="F18" i="1"/>
  <c r="E18" i="1"/>
  <c r="J13" i="1"/>
  <c r="I13" i="1"/>
  <c r="H13" i="1"/>
  <c r="G13" i="1"/>
  <c r="F13" i="1"/>
  <c r="E13" i="1"/>
  <c r="D13" i="1"/>
  <c r="J9" i="1"/>
  <c r="I9" i="1"/>
  <c r="H9" i="1"/>
  <c r="G9" i="1"/>
  <c r="F9" i="1"/>
  <c r="E9" i="1"/>
  <c r="D9" i="1"/>
  <c r="J4" i="1"/>
  <c r="I4" i="1"/>
  <c r="H4" i="1"/>
  <c r="G4" i="1"/>
  <c r="F4" i="1"/>
  <c r="E4" i="1"/>
  <c r="D4" i="1"/>
  <c r="H26" i="2" l="1"/>
  <c r="G26" i="2"/>
  <c r="F26" i="2"/>
  <c r="I26" i="2"/>
  <c r="J26" i="2"/>
  <c r="D26" i="2"/>
  <c r="E26" i="2"/>
  <c r="H28" i="1"/>
  <c r="I28" i="1"/>
  <c r="G28" i="1"/>
  <c r="E28" i="1"/>
  <c r="J28" i="1"/>
  <c r="D28" i="1"/>
  <c r="F28" i="1"/>
</calcChain>
</file>

<file path=xl/sharedStrings.xml><?xml version="1.0" encoding="utf-8"?>
<sst xmlns="http://schemas.openxmlformats.org/spreadsheetml/2006/main" count="163" uniqueCount="63">
  <si>
    <t>ITSC-3155 Software Engineering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</si>
  <si>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</si>
  <si>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</si>
  <si>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</si>
  <si>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</si>
  <si>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</si>
  <si>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</si>
  <si>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</si>
  <si>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</si>
  <si>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</si>
  <si>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</si>
  <si>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</si>
  <si>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</si>
  <si>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To Do</t>
  </si>
  <si>
    <t>TOTAL</t>
  </si>
  <si>
    <t>S1-T1 POST /menu-items</t>
  </si>
  <si>
    <t>Team</t>
  </si>
  <si>
    <t>Done</t>
  </si>
  <si>
    <t>S1-T2 GET /menu-items</t>
  </si>
  <si>
    <t>S1-T3 PUT /menu-items</t>
  </si>
  <si>
    <t>S1-T4 DELETE /menu-items</t>
  </si>
  <si>
    <t>Menu Management</t>
  </si>
  <si>
    <t>Customer Management</t>
  </si>
  <si>
    <t>S1-T5 POST /customers</t>
  </si>
  <si>
    <t>S1-T6 GET /customers</t>
  </si>
  <si>
    <t>S1-T7 PUT/DELETE customers</t>
  </si>
  <si>
    <t>Order Management</t>
  </si>
  <si>
    <t>S1-T8 POST /orders</t>
  </si>
  <si>
    <t>S1-T9 GET /orders</t>
  </si>
  <si>
    <t>S1-T10 POST /order-details</t>
  </si>
  <si>
    <t>S1-T11 GET /order-details</t>
  </si>
  <si>
    <t>S1-T12 Project Structure</t>
  </si>
  <si>
    <t>S1-T13 Swagger Setup</t>
  </si>
  <si>
    <t>S1-T14 POST /sandwiches</t>
  </si>
  <si>
    <t>S1-T15 GET /sandwiches</t>
  </si>
  <si>
    <t>API Development</t>
  </si>
  <si>
    <t>S1-T16 PUT/DELETE sandwiches</t>
  </si>
  <si>
    <t>Database Integration</t>
  </si>
  <si>
    <t>S1-T17 Verify Models</t>
  </si>
  <si>
    <t>S1-T18 DB Session CRUD</t>
  </si>
  <si>
    <t>S1-T19 Seed Sample Data</t>
  </si>
  <si>
    <t>S2-T1 Add promotion_id support to menu-items</t>
  </si>
  <si>
    <t>S2-T2 Add average rating to menu-item GET response</t>
  </si>
  <si>
    <t>S2-T3 Add payments CRUD endpoints</t>
  </si>
  <si>
    <t>S2-T4 Integrate payments into order creation</t>
  </si>
  <si>
    <t>S2-T5 Apply promotion discount to order total</t>
  </si>
  <si>
    <t>S2-T6 Add final price calculation</t>
  </si>
  <si>
    <t>S2-T7 Add order status update endpoint</t>
  </si>
  <si>
    <t>S2-T8 Add date filter to GET /orders</t>
  </si>
  <si>
    <t>S2-T9 Add sorting (price/date) to orders</t>
  </si>
  <si>
    <t>S2-T10 Add order summary fields (item count, discount, totals)</t>
  </si>
  <si>
    <t>S2-T11 Add promotions CRUD</t>
  </si>
  <si>
    <t>S2-T12 Add reviews CRUD</t>
  </si>
  <si>
    <t>S2-T13 Add validation for all request bodies</t>
  </si>
  <si>
    <t>S2-T14 Add missing DELETE endpoints</t>
  </si>
  <si>
    <t>S2-T15 Add DB indexes for performance</t>
  </si>
  <si>
    <t>S2-T16 Add join relationships (orders ↔ order_details)</t>
  </si>
  <si>
    <t>S2-T17 Final DB validation + seed refresh</t>
  </si>
  <si>
    <t>Order Placement</t>
  </si>
  <si>
    <t>Order Management Dashboard</t>
  </si>
  <si>
    <t>API Development / CRUD</t>
  </si>
  <si>
    <t>Sprint Backlog NOV 17 - 21</t>
  </si>
  <si>
    <t>Sprint Backlog Nov 24 - 28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</si>
</sst>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0"/>
      <color rgb="FFFFFFFF"/>
      <name val="&quot;⋎ntury Gothic\&quot;&quot;"/>
    </font>
    <font>
      <b/>
      <sz val="10"/>
      <color rgb="FF000000"/>
      <name val="&quot;⋎ntury Gothic\&quot;&quot;"/>
    </font>
    <font>
      <sz val="12"/>
      <color rgb="FF000000"/>
      <name val="Calibri"/>
      <family val="2"/>
    </font>
    <font>
      <sz val="10"/>
      <color rgb="FF000000"/>
      <name val="&quot;⋎ntury Gothic\&quot;&quot;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5" fillId="5" borderId="5" xfId="0" applyFont="1" applyFill="1" applyBorder="1"/>
    <xf numFmtId="0" fontId="6" fillId="5" borderId="5" xfId="0" applyFont="1" applyFill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3" fillId="6" borderId="5" xfId="0" applyFont="1" applyFill="1" applyBorder="1"/>
    <xf numFmtId="0" fontId="3" fillId="6" borderId="5" xfId="0" applyFont="1" applyFill="1" applyBorder="1" applyAlignment="1">
      <alignment horizontal="right"/>
    </xf>
    <xf numFmtId="0" fontId="6" fillId="0" borderId="4" xfId="0" applyFont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6" fillId="0" borderId="5" xfId="0" applyFont="1" applyBorder="1" applyAlignment="1">
      <alignment horizontal="right" wrapText="1"/>
    </xf>
    <xf numFmtId="0" fontId="0" fillId="0" borderId="0" xfId="0" applyAlignment="1">
      <alignment wrapText="1"/>
    </xf>
    <xf numFmtId="0" fontId="6" fillId="0" borderId="6" xfId="0" applyFont="1" applyBorder="1"/>
    <xf numFmtId="0" fontId="6" fillId="0" borderId="6" xfId="0" applyFont="1" applyBorder="1" applyAlignment="1">
      <alignment horizontal="right"/>
    </xf>
    <xf numFmtId="0" fontId="6" fillId="0" borderId="6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wrapText="1"/>
    </xf>
    <xf numFmtId="0" fontId="6" fillId="5" borderId="5" xfId="0" applyFont="1" applyFill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3" fillId="6" borderId="5" xfId="0" applyFont="1" applyFill="1" applyBorder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28"/>
  <sheetViews>
    <sheetView workbookViewId="0">
      <selection activeCell="P8" sqref="P8"/>
    </sheetView>
  </sheetViews>
  <sheetFormatPr defaultColWidth="12.5703125" defaultRowHeight="15.75" customHeight="1"/>
  <cols>
    <col min="1" max="1" width="17.42578125" customWidth="1"/>
    <col min="4" max="4" width="14.7109375" customWidth="1"/>
    <col min="12" max="12" width="13.85546875" customWidth="1"/>
  </cols>
  <sheetData>
    <row r="1" spans="1:12" ht="15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5.75" customHeight="1">
      <c r="A2" s="30" t="s">
        <v>61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1:12" ht="12.7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26.25">
      <c r="A4" s="13" t="s">
        <v>21</v>
      </c>
      <c r="B4" s="3">
        <v>8</v>
      </c>
      <c r="C4" s="4"/>
      <c r="D4" s="4">
        <f t="shared" ref="D4:J4" si="0">SUM(D5:D8)</f>
        <v>9</v>
      </c>
      <c r="E4" s="4">
        <f t="shared" si="0"/>
        <v>2</v>
      </c>
      <c r="F4" s="4">
        <f t="shared" si="0"/>
        <v>3</v>
      </c>
      <c r="G4" s="4">
        <f t="shared" si="0"/>
        <v>2</v>
      </c>
      <c r="H4" s="4">
        <f t="shared" si="0"/>
        <v>2</v>
      </c>
      <c r="I4" s="4">
        <f t="shared" si="0"/>
        <v>2</v>
      </c>
      <c r="J4" s="4">
        <f t="shared" si="0"/>
        <v>2</v>
      </c>
      <c r="K4" s="5" t="s">
        <v>13</v>
      </c>
      <c r="L4" s="4"/>
    </row>
    <row r="5" spans="1:12" ht="25.5">
      <c r="A5" s="11" t="s">
        <v>15</v>
      </c>
      <c r="B5" s="6">
        <v>8</v>
      </c>
      <c r="C5" s="7" t="s">
        <v>16</v>
      </c>
      <c r="D5" s="8">
        <v>3</v>
      </c>
      <c r="E5" s="8">
        <v>1</v>
      </c>
      <c r="F5" s="8">
        <v>2</v>
      </c>
      <c r="G5" s="8">
        <v>1</v>
      </c>
      <c r="H5" s="8">
        <v>1</v>
      </c>
      <c r="I5" s="8">
        <v>1</v>
      </c>
      <c r="J5" s="8">
        <v>1</v>
      </c>
      <c r="K5" s="7" t="s">
        <v>17</v>
      </c>
      <c r="L5" s="8">
        <v>1</v>
      </c>
    </row>
    <row r="6" spans="1:12" ht="25.5">
      <c r="A6" s="11" t="s">
        <v>18</v>
      </c>
      <c r="B6" s="6">
        <v>8</v>
      </c>
      <c r="C6" s="7" t="s">
        <v>16</v>
      </c>
      <c r="D6" s="8">
        <v>2</v>
      </c>
      <c r="E6" s="8">
        <v>1</v>
      </c>
      <c r="F6" s="8">
        <v>1</v>
      </c>
      <c r="G6" s="8">
        <v>0</v>
      </c>
      <c r="H6" s="8">
        <v>0</v>
      </c>
      <c r="I6" s="8">
        <v>0</v>
      </c>
      <c r="J6" s="8">
        <v>0</v>
      </c>
      <c r="K6" s="7" t="s">
        <v>17</v>
      </c>
      <c r="L6" s="8">
        <v>1</v>
      </c>
    </row>
    <row r="7" spans="1:12" ht="25.5">
      <c r="A7" s="11" t="s">
        <v>19</v>
      </c>
      <c r="B7" s="6">
        <v>8</v>
      </c>
      <c r="C7" s="7" t="s">
        <v>16</v>
      </c>
      <c r="D7" s="8">
        <v>2</v>
      </c>
      <c r="E7" s="8">
        <v>0</v>
      </c>
      <c r="F7" s="8">
        <v>0</v>
      </c>
      <c r="G7" s="8">
        <v>1</v>
      </c>
      <c r="H7" s="8">
        <v>1</v>
      </c>
      <c r="I7" s="8">
        <v>0</v>
      </c>
      <c r="J7" s="8">
        <v>0</v>
      </c>
      <c r="K7" s="7" t="s">
        <v>17</v>
      </c>
      <c r="L7" s="8">
        <v>1</v>
      </c>
    </row>
    <row r="8" spans="1:12" ht="25.5">
      <c r="A8" s="11" t="s">
        <v>20</v>
      </c>
      <c r="B8" s="6">
        <v>8</v>
      </c>
      <c r="C8" s="7" t="s">
        <v>16</v>
      </c>
      <c r="D8" s="8">
        <v>2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14">
        <v>1</v>
      </c>
      <c r="K8" s="7" t="s">
        <v>17</v>
      </c>
      <c r="L8" s="8">
        <v>1</v>
      </c>
    </row>
    <row r="9" spans="1:12" ht="26.25">
      <c r="A9" s="13" t="s">
        <v>22</v>
      </c>
      <c r="B9" s="3">
        <v>13</v>
      </c>
      <c r="C9" s="4"/>
      <c r="D9" s="4">
        <f t="shared" ref="D9:J9" si="1">SUM(D10:D12)</f>
        <v>8</v>
      </c>
      <c r="E9" s="4">
        <f t="shared" si="1"/>
        <v>2</v>
      </c>
      <c r="F9" s="4">
        <f t="shared" si="1"/>
        <v>2</v>
      </c>
      <c r="G9" s="4">
        <f t="shared" si="1"/>
        <v>2</v>
      </c>
      <c r="H9" s="4">
        <f t="shared" si="1"/>
        <v>1</v>
      </c>
      <c r="I9" s="4">
        <f t="shared" si="1"/>
        <v>1</v>
      </c>
      <c r="J9" s="4">
        <f t="shared" si="1"/>
        <v>0</v>
      </c>
      <c r="K9" s="5" t="s">
        <v>13</v>
      </c>
      <c r="L9" s="4"/>
    </row>
    <row r="10" spans="1:12" ht="25.5">
      <c r="A10" s="11" t="s">
        <v>23</v>
      </c>
      <c r="B10" s="6">
        <v>13</v>
      </c>
      <c r="C10" s="7" t="s">
        <v>16</v>
      </c>
      <c r="D10" s="8">
        <v>3</v>
      </c>
      <c r="E10" s="8">
        <v>1</v>
      </c>
      <c r="F10" s="8">
        <v>1</v>
      </c>
      <c r="G10" s="8">
        <v>1</v>
      </c>
      <c r="H10" s="8">
        <v>0</v>
      </c>
      <c r="I10" s="8">
        <v>0</v>
      </c>
      <c r="J10" s="8">
        <v>0</v>
      </c>
      <c r="K10" s="7" t="s">
        <v>17</v>
      </c>
      <c r="L10" s="8">
        <v>1</v>
      </c>
    </row>
    <row r="11" spans="1:12" ht="25.5">
      <c r="A11" s="11" t="s">
        <v>24</v>
      </c>
      <c r="B11" s="6">
        <v>13</v>
      </c>
      <c r="C11" s="7" t="s">
        <v>16</v>
      </c>
      <c r="D11" s="8">
        <v>2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7" t="s">
        <v>17</v>
      </c>
      <c r="L11" s="8">
        <v>1</v>
      </c>
    </row>
    <row r="12" spans="1:12" ht="38.25">
      <c r="A12" s="11" t="s">
        <v>25</v>
      </c>
      <c r="B12" s="6">
        <v>13</v>
      </c>
      <c r="C12" s="7" t="s">
        <v>16</v>
      </c>
      <c r="D12" s="8">
        <v>3</v>
      </c>
      <c r="E12" s="8">
        <v>1</v>
      </c>
      <c r="F12" s="8">
        <v>0</v>
      </c>
      <c r="G12" s="8">
        <v>0</v>
      </c>
      <c r="H12" s="8">
        <v>1</v>
      </c>
      <c r="I12" s="8">
        <v>1</v>
      </c>
      <c r="J12" s="8">
        <v>0</v>
      </c>
      <c r="K12" s="7" t="s">
        <v>17</v>
      </c>
      <c r="L12" s="8">
        <v>1</v>
      </c>
    </row>
    <row r="13" spans="1:12" ht="26.25">
      <c r="A13" s="13" t="s">
        <v>26</v>
      </c>
      <c r="B13" s="3">
        <v>8</v>
      </c>
      <c r="C13" s="4"/>
      <c r="D13" s="4">
        <f t="shared" ref="D13:J13" si="2">SUM(D14:D17)</f>
        <v>12</v>
      </c>
      <c r="E13" s="4">
        <f t="shared" si="2"/>
        <v>3</v>
      </c>
      <c r="F13" s="4">
        <f t="shared" si="2"/>
        <v>2</v>
      </c>
      <c r="G13" s="4">
        <f t="shared" si="2"/>
        <v>2</v>
      </c>
      <c r="H13" s="4">
        <f t="shared" si="2"/>
        <v>2</v>
      </c>
      <c r="I13" s="4">
        <f t="shared" si="2"/>
        <v>2</v>
      </c>
      <c r="J13" s="4">
        <f t="shared" si="2"/>
        <v>1</v>
      </c>
      <c r="K13" s="5" t="s">
        <v>13</v>
      </c>
      <c r="L13" s="4"/>
    </row>
    <row r="14" spans="1:12" ht="25.5">
      <c r="A14" s="11" t="s">
        <v>27</v>
      </c>
      <c r="B14" s="6">
        <v>8</v>
      </c>
      <c r="C14" s="7" t="s">
        <v>16</v>
      </c>
      <c r="D14" s="8">
        <v>4</v>
      </c>
      <c r="E14" s="8">
        <v>2</v>
      </c>
      <c r="F14" s="8">
        <v>1</v>
      </c>
      <c r="G14" s="8">
        <v>1</v>
      </c>
      <c r="H14" s="8">
        <v>0</v>
      </c>
      <c r="I14" s="8">
        <v>0</v>
      </c>
      <c r="J14" s="8">
        <v>0</v>
      </c>
      <c r="K14" s="7" t="s">
        <v>17</v>
      </c>
      <c r="L14" s="8">
        <v>1</v>
      </c>
    </row>
    <row r="15" spans="1:12" ht="12.75">
      <c r="A15" s="11" t="s">
        <v>28</v>
      </c>
      <c r="B15" s="6">
        <v>8</v>
      </c>
      <c r="C15" s="7" t="s">
        <v>16</v>
      </c>
      <c r="D15" s="8">
        <v>3</v>
      </c>
      <c r="E15" s="8">
        <v>1</v>
      </c>
      <c r="F15" s="8">
        <v>0</v>
      </c>
      <c r="G15" s="8">
        <v>1</v>
      </c>
      <c r="H15" s="8">
        <v>1</v>
      </c>
      <c r="I15" s="8">
        <v>0</v>
      </c>
      <c r="J15" s="8">
        <v>0</v>
      </c>
      <c r="K15" s="7" t="s">
        <v>17</v>
      </c>
      <c r="L15" s="8">
        <v>1</v>
      </c>
    </row>
    <row r="16" spans="1:12" ht="25.5">
      <c r="A16" s="11" t="s">
        <v>29</v>
      </c>
      <c r="B16" s="6">
        <v>8</v>
      </c>
      <c r="C16" s="7" t="s">
        <v>16</v>
      </c>
      <c r="D16" s="8">
        <v>3</v>
      </c>
      <c r="E16" s="8">
        <v>0</v>
      </c>
      <c r="F16" s="8">
        <v>1</v>
      </c>
      <c r="G16" s="8">
        <v>0</v>
      </c>
      <c r="H16" s="8">
        <v>1</v>
      </c>
      <c r="I16" s="8">
        <v>1</v>
      </c>
      <c r="J16" s="8">
        <v>0</v>
      </c>
      <c r="K16" s="7" t="s">
        <v>17</v>
      </c>
      <c r="L16" s="8">
        <v>1</v>
      </c>
    </row>
    <row r="17" spans="1:12" ht="25.5">
      <c r="A17" s="11" t="s">
        <v>30</v>
      </c>
      <c r="B17" s="6">
        <v>8</v>
      </c>
      <c r="C17" s="7" t="s">
        <v>16</v>
      </c>
      <c r="D17" s="8">
        <v>2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1</v>
      </c>
      <c r="K17" s="7" t="s">
        <v>17</v>
      </c>
      <c r="L17" s="8">
        <v>1</v>
      </c>
    </row>
    <row r="18" spans="1:12">
      <c r="A18" s="13" t="s">
        <v>35</v>
      </c>
      <c r="B18" s="3">
        <v>8</v>
      </c>
      <c r="C18" s="4"/>
      <c r="D18" s="4">
        <f>SUM(D19:D23)</f>
        <v>10</v>
      </c>
      <c r="E18" s="4">
        <f t="shared" ref="E18:J18" si="3">SUM(E19:E22)</f>
        <v>2</v>
      </c>
      <c r="F18" s="4">
        <f t="shared" si="3"/>
        <v>3</v>
      </c>
      <c r="G18" s="4">
        <f t="shared" si="3"/>
        <v>2</v>
      </c>
      <c r="H18" s="4">
        <f t="shared" si="3"/>
        <v>0</v>
      </c>
      <c r="I18" s="4">
        <f t="shared" si="3"/>
        <v>0</v>
      </c>
      <c r="J18" s="4">
        <f t="shared" si="3"/>
        <v>0</v>
      </c>
      <c r="K18" s="5" t="s">
        <v>13</v>
      </c>
      <c r="L18" s="4"/>
    </row>
    <row r="19" spans="1:12" ht="25.5">
      <c r="A19" s="11" t="s">
        <v>31</v>
      </c>
      <c r="B19" s="6">
        <v>8</v>
      </c>
      <c r="C19" s="7" t="s">
        <v>16</v>
      </c>
      <c r="D19" s="8">
        <v>2</v>
      </c>
      <c r="E19" s="8">
        <v>1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7" t="s">
        <v>17</v>
      </c>
      <c r="L19" s="8">
        <v>1</v>
      </c>
    </row>
    <row r="20" spans="1:12" ht="25.5">
      <c r="A20" s="11" t="s">
        <v>32</v>
      </c>
      <c r="B20" s="6">
        <v>8</v>
      </c>
      <c r="C20" s="7" t="s">
        <v>16</v>
      </c>
      <c r="D20" s="8">
        <v>1</v>
      </c>
      <c r="E20" s="8">
        <v>0</v>
      </c>
      <c r="F20" s="8">
        <v>1</v>
      </c>
      <c r="G20" s="8">
        <v>0</v>
      </c>
      <c r="H20" s="8">
        <v>0</v>
      </c>
      <c r="I20" s="8">
        <v>0</v>
      </c>
      <c r="J20" s="8">
        <v>0</v>
      </c>
      <c r="K20" s="7" t="s">
        <v>17</v>
      </c>
      <c r="L20" s="8">
        <v>1</v>
      </c>
    </row>
    <row r="21" spans="1:12" ht="25.5">
      <c r="A21" s="11" t="s">
        <v>33</v>
      </c>
      <c r="B21" s="6">
        <v>8</v>
      </c>
      <c r="C21" s="7" t="s">
        <v>16</v>
      </c>
      <c r="D21" s="8">
        <v>2</v>
      </c>
      <c r="E21" s="8">
        <v>1</v>
      </c>
      <c r="F21" s="8">
        <v>0</v>
      </c>
      <c r="G21" s="8">
        <v>1</v>
      </c>
      <c r="H21" s="8">
        <v>0</v>
      </c>
      <c r="I21" s="8">
        <v>0</v>
      </c>
      <c r="J21" s="8">
        <v>0</v>
      </c>
      <c r="K21" s="7" t="s">
        <v>17</v>
      </c>
      <c r="L21" s="8">
        <v>1</v>
      </c>
    </row>
    <row r="22" spans="1:12" ht="25.5">
      <c r="A22" s="11" t="s">
        <v>34</v>
      </c>
      <c r="B22" s="6">
        <v>8</v>
      </c>
      <c r="C22" s="7" t="s">
        <v>16</v>
      </c>
      <c r="D22" s="8">
        <v>2</v>
      </c>
      <c r="E22" s="8">
        <v>0</v>
      </c>
      <c r="F22" s="8">
        <v>1</v>
      </c>
      <c r="G22" s="8">
        <v>1</v>
      </c>
      <c r="H22" s="8">
        <v>0</v>
      </c>
      <c r="I22" s="8">
        <v>0</v>
      </c>
      <c r="J22" s="8">
        <v>0</v>
      </c>
      <c r="K22" s="7" t="s">
        <v>17</v>
      </c>
      <c r="L22" s="8">
        <v>1</v>
      </c>
    </row>
    <row r="23" spans="1:12" ht="38.25">
      <c r="A23" s="15" t="s">
        <v>36</v>
      </c>
      <c r="B23" s="18">
        <v>8</v>
      </c>
      <c r="C23" s="16" t="s">
        <v>16</v>
      </c>
      <c r="D23" s="17">
        <v>3</v>
      </c>
      <c r="E23" s="17">
        <v>0</v>
      </c>
      <c r="F23" s="17">
        <v>0</v>
      </c>
      <c r="G23" s="17">
        <v>1</v>
      </c>
      <c r="H23" s="17">
        <v>1</v>
      </c>
      <c r="I23" s="17">
        <v>1</v>
      </c>
      <c r="J23" s="17">
        <v>0</v>
      </c>
      <c r="K23" s="7" t="s">
        <v>17</v>
      </c>
      <c r="L23" s="17">
        <v>1</v>
      </c>
    </row>
    <row r="24" spans="1:12" ht="26.25">
      <c r="A24" s="13" t="s">
        <v>37</v>
      </c>
      <c r="B24" s="3">
        <v>5</v>
      </c>
      <c r="C24" s="4"/>
      <c r="D24" s="4">
        <f t="shared" ref="D24:J24" si="4">SUM(D25:D27)</f>
        <v>5</v>
      </c>
      <c r="E24" s="4">
        <f t="shared" si="4"/>
        <v>1</v>
      </c>
      <c r="F24" s="4">
        <f t="shared" si="4"/>
        <v>1</v>
      </c>
      <c r="G24" s="4">
        <f t="shared" si="4"/>
        <v>1</v>
      </c>
      <c r="H24" s="4">
        <f t="shared" si="4"/>
        <v>2</v>
      </c>
      <c r="I24" s="4">
        <f t="shared" si="4"/>
        <v>0</v>
      </c>
      <c r="J24" s="4">
        <f t="shared" si="4"/>
        <v>0</v>
      </c>
      <c r="K24" s="5" t="s">
        <v>13</v>
      </c>
      <c r="L24" s="4"/>
    </row>
    <row r="25" spans="1:12" ht="25.5">
      <c r="A25" s="11" t="s">
        <v>38</v>
      </c>
      <c r="B25" s="6">
        <v>5</v>
      </c>
      <c r="C25" s="7" t="s">
        <v>16</v>
      </c>
      <c r="D25" s="8">
        <v>2</v>
      </c>
      <c r="E25" s="8">
        <v>1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7" t="s">
        <v>17</v>
      </c>
      <c r="L25" s="8">
        <v>1</v>
      </c>
    </row>
    <row r="26" spans="1:12" ht="25.5">
      <c r="A26" s="11" t="s">
        <v>39</v>
      </c>
      <c r="B26" s="6">
        <v>5</v>
      </c>
      <c r="C26" s="7" t="s">
        <v>16</v>
      </c>
      <c r="D26" s="8">
        <v>2</v>
      </c>
      <c r="E26" s="8">
        <v>0</v>
      </c>
      <c r="F26" s="8">
        <v>0</v>
      </c>
      <c r="G26" s="8">
        <v>1</v>
      </c>
      <c r="H26" s="8">
        <v>1</v>
      </c>
      <c r="I26" s="8">
        <v>0</v>
      </c>
      <c r="J26" s="8">
        <v>0</v>
      </c>
      <c r="K26" s="7" t="s">
        <v>17</v>
      </c>
      <c r="L26" s="8">
        <v>1</v>
      </c>
    </row>
    <row r="27" spans="1:12" ht="25.5">
      <c r="A27" s="11" t="s">
        <v>40</v>
      </c>
      <c r="B27" s="6">
        <v>5</v>
      </c>
      <c r="C27" s="7" t="s">
        <v>16</v>
      </c>
      <c r="D27" s="8">
        <v>1</v>
      </c>
      <c r="E27" s="8">
        <v>0</v>
      </c>
      <c r="F27" s="8">
        <v>0</v>
      </c>
      <c r="G27" s="8">
        <v>0</v>
      </c>
      <c r="H27" s="8">
        <v>1</v>
      </c>
      <c r="I27" s="8">
        <v>0</v>
      </c>
      <c r="J27" s="8">
        <v>0</v>
      </c>
      <c r="K27" s="7" t="s">
        <v>17</v>
      </c>
      <c r="L27" s="8">
        <v>1</v>
      </c>
    </row>
    <row r="28" spans="1:12" ht="12.75">
      <c r="A28" s="12" t="s">
        <v>14</v>
      </c>
      <c r="B28" s="9"/>
      <c r="C28" s="9"/>
      <c r="D28" s="10">
        <f>SUM(D4:D27)</f>
        <v>88</v>
      </c>
      <c r="E28" s="10">
        <f>SUM(E4:E27)</f>
        <v>20</v>
      </c>
      <c r="F28" s="10">
        <f>F4+F9+F13+F18+F24</f>
        <v>11</v>
      </c>
      <c r="G28" s="10">
        <f>SUM(G4:G27)</f>
        <v>19</v>
      </c>
      <c r="H28" s="10">
        <f>SUM(H4:H27)</f>
        <v>15</v>
      </c>
      <c r="I28" s="10">
        <f>SUM(I4:I27)</f>
        <v>11</v>
      </c>
      <c r="J28" s="10">
        <f>SUM(J4:J27)</f>
        <v>6</v>
      </c>
      <c r="K28" s="9"/>
      <c r="L28" s="10">
        <f>SUM(L5:L27)</f>
        <v>19</v>
      </c>
    </row>
  </sheetData>
  <mergeCells count="2">
    <mergeCell ref="A1:L1"/>
    <mergeCell ref="A2:L2"/>
  </mergeCells>
  <dataValidations count="1">
    <dataValidation type="list" allowBlank="1" showErrorMessage="1" sqref="K9:K27 K4:K8" xr:uid="{00000000-0002-0000-0000-000000000000}">
      <formula1>"To Do,Doing,Done"</formula1>
    </dataValidation>
  </dataValidations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7E5-F34C-48B9-8BB9-96917F3B1E32}">
  <dimension ref="A1:L26"/>
  <sheetViews>
    <sheetView tabSelected="1" topLeftCell="A22" workbookViewId="0">
      <selection activeCell="J33" sqref="J33"/>
    </sheetView>
  </sheetViews>
  <sheetFormatPr defaultColWidth="12.5703125" defaultRowHeight="12.75"/>
  <cols>
    <col min="1" max="1" width="17.42578125" style="15" customWidth="1"/>
    <col min="2" max="3" width="12.5703125" style="15"/>
    <col min="4" max="4" width="14.7109375" style="15" customWidth="1"/>
    <col min="5" max="11" width="12.5703125" style="15"/>
    <col min="12" max="12" width="13.85546875" style="15" customWidth="1"/>
    <col min="13" max="16384" width="12.5703125" style="15"/>
  </cols>
  <sheetData>
    <row r="1" spans="1:12" ht="14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4.25">
      <c r="A2" s="35" t="s">
        <v>62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7"/>
    </row>
    <row r="3" spans="1:12" ht="25.5">
      <c r="A3" s="20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  <c r="L3" s="2" t="s">
        <v>12</v>
      </c>
    </row>
    <row r="4" spans="1:12" ht="26.25">
      <c r="A4" s="13" t="s">
        <v>21</v>
      </c>
      <c r="B4" s="21">
        <v>5</v>
      </c>
      <c r="C4" s="22" t="s">
        <v>16</v>
      </c>
      <c r="D4" s="22">
        <v>4</v>
      </c>
      <c r="E4" s="22">
        <f t="shared" ref="E4:J4" si="0">SUM(E5:E6)</f>
        <v>1</v>
      </c>
      <c r="F4" s="22">
        <f t="shared" si="0"/>
        <v>1</v>
      </c>
      <c r="G4" s="22">
        <f t="shared" si="0"/>
        <v>1</v>
      </c>
      <c r="H4" s="22">
        <f t="shared" si="0"/>
        <v>1</v>
      </c>
      <c r="I4" s="22">
        <f t="shared" si="0"/>
        <v>1</v>
      </c>
      <c r="J4" s="22">
        <f t="shared" si="0"/>
        <v>0</v>
      </c>
      <c r="K4" s="23" t="s">
        <v>17</v>
      </c>
      <c r="L4" s="22"/>
    </row>
    <row r="5" spans="1:12" ht="51">
      <c r="A5" s="11" t="s">
        <v>41</v>
      </c>
      <c r="B5" s="24">
        <v>5</v>
      </c>
      <c r="C5" s="25" t="s">
        <v>16</v>
      </c>
      <c r="D5" s="14">
        <v>2</v>
      </c>
      <c r="E5" s="14">
        <v>1</v>
      </c>
      <c r="F5" s="14">
        <v>1</v>
      </c>
      <c r="G5" s="14">
        <v>0</v>
      </c>
      <c r="H5" s="14">
        <v>0</v>
      </c>
      <c r="I5" s="14">
        <v>0</v>
      </c>
      <c r="J5" s="14">
        <v>0</v>
      </c>
      <c r="K5" s="25" t="s">
        <v>17</v>
      </c>
      <c r="L5" s="14">
        <v>1</v>
      </c>
    </row>
    <row r="6" spans="1:12" ht="38.25">
      <c r="A6" s="11" t="s">
        <v>42</v>
      </c>
      <c r="B6" s="24">
        <v>5</v>
      </c>
      <c r="C6" s="25" t="s">
        <v>16</v>
      </c>
      <c r="D6" s="14">
        <v>2</v>
      </c>
      <c r="E6" s="14">
        <v>0</v>
      </c>
      <c r="F6" s="14">
        <v>0</v>
      </c>
      <c r="G6" s="14">
        <v>1</v>
      </c>
      <c r="H6" s="14">
        <v>1</v>
      </c>
      <c r="I6" s="14">
        <v>1</v>
      </c>
      <c r="J6" s="14">
        <v>0</v>
      </c>
      <c r="K6" s="25" t="s">
        <v>17</v>
      </c>
      <c r="L6" s="14">
        <v>1</v>
      </c>
    </row>
    <row r="7" spans="1:12" ht="15.75">
      <c r="A7" s="13" t="s">
        <v>58</v>
      </c>
      <c r="B7" s="21">
        <v>13</v>
      </c>
      <c r="C7" s="22" t="s">
        <v>16</v>
      </c>
      <c r="D7" s="22">
        <f t="shared" ref="D7:J7" si="1">SUM(D8:D11)</f>
        <v>10</v>
      </c>
      <c r="E7" s="22">
        <f t="shared" si="1"/>
        <v>2</v>
      </c>
      <c r="F7" s="22">
        <f t="shared" si="1"/>
        <v>2</v>
      </c>
      <c r="G7" s="22">
        <f t="shared" si="1"/>
        <v>3</v>
      </c>
      <c r="H7" s="22">
        <f t="shared" si="1"/>
        <v>3</v>
      </c>
      <c r="I7" s="22">
        <f t="shared" si="1"/>
        <v>2</v>
      </c>
      <c r="J7" s="22">
        <f t="shared" si="1"/>
        <v>0</v>
      </c>
      <c r="K7" s="23" t="s">
        <v>17</v>
      </c>
      <c r="L7" s="22">
        <f>SUM(L5:L6)</f>
        <v>2</v>
      </c>
    </row>
    <row r="8" spans="1:12" ht="38.25">
      <c r="A8" s="11" t="s">
        <v>43</v>
      </c>
      <c r="B8" s="24">
        <v>13</v>
      </c>
      <c r="C8" s="25" t="s">
        <v>16</v>
      </c>
      <c r="D8" s="14">
        <v>4</v>
      </c>
      <c r="E8" s="14">
        <v>2</v>
      </c>
      <c r="F8" s="14">
        <v>1</v>
      </c>
      <c r="G8" s="14">
        <v>1</v>
      </c>
      <c r="H8" s="14">
        <v>0</v>
      </c>
      <c r="I8" s="14">
        <v>0</v>
      </c>
      <c r="J8" s="14">
        <v>0</v>
      </c>
      <c r="K8" s="25" t="s">
        <v>17</v>
      </c>
      <c r="L8" s="14">
        <v>1</v>
      </c>
    </row>
    <row r="9" spans="1:12" ht="38.25">
      <c r="A9" s="11" t="s">
        <v>44</v>
      </c>
      <c r="B9" s="24">
        <v>13</v>
      </c>
      <c r="C9" s="25" t="s">
        <v>16</v>
      </c>
      <c r="D9" s="14">
        <v>2</v>
      </c>
      <c r="E9" s="14">
        <v>0</v>
      </c>
      <c r="F9" s="14">
        <v>1</v>
      </c>
      <c r="G9" s="14">
        <v>1</v>
      </c>
      <c r="H9" s="14">
        <v>1</v>
      </c>
      <c r="I9" s="14">
        <v>1</v>
      </c>
      <c r="J9" s="14">
        <v>0</v>
      </c>
      <c r="K9" s="25" t="s">
        <v>17</v>
      </c>
      <c r="L9" s="14">
        <v>1</v>
      </c>
    </row>
    <row r="10" spans="1:12" ht="38.25">
      <c r="A10" s="11" t="s">
        <v>45</v>
      </c>
      <c r="B10" s="24">
        <v>13</v>
      </c>
      <c r="C10" s="25" t="s">
        <v>16</v>
      </c>
      <c r="D10" s="14">
        <v>2</v>
      </c>
      <c r="E10" s="14">
        <v>0</v>
      </c>
      <c r="F10" s="14">
        <v>0</v>
      </c>
      <c r="G10" s="14">
        <v>1</v>
      </c>
      <c r="H10" s="14">
        <v>1</v>
      </c>
      <c r="I10" s="14">
        <v>0</v>
      </c>
      <c r="J10" s="8">
        <v>0</v>
      </c>
      <c r="K10" s="25" t="s">
        <v>17</v>
      </c>
      <c r="L10" s="14">
        <v>1</v>
      </c>
    </row>
    <row r="11" spans="1:12" ht="25.5">
      <c r="A11" s="11" t="s">
        <v>46</v>
      </c>
      <c r="B11" s="24">
        <v>13</v>
      </c>
      <c r="C11" s="25" t="s">
        <v>16</v>
      </c>
      <c r="D11" s="14">
        <v>2</v>
      </c>
      <c r="E11" s="14">
        <v>0</v>
      </c>
      <c r="F11" s="14">
        <v>0</v>
      </c>
      <c r="G11" s="14">
        <v>0</v>
      </c>
      <c r="H11" s="14">
        <v>1</v>
      </c>
      <c r="I11" s="14">
        <v>1</v>
      </c>
      <c r="J11" s="14">
        <v>0</v>
      </c>
      <c r="K11" s="25" t="s">
        <v>17</v>
      </c>
      <c r="L11" s="14">
        <v>1</v>
      </c>
    </row>
    <row r="12" spans="1:12" ht="39">
      <c r="A12" s="13" t="s">
        <v>59</v>
      </c>
      <c r="B12" s="21">
        <v>5</v>
      </c>
      <c r="C12" s="22" t="s">
        <v>16</v>
      </c>
      <c r="D12" s="22">
        <f t="shared" ref="D12:J12" si="2">SUM(D13:D16)</f>
        <v>10</v>
      </c>
      <c r="E12" s="22">
        <f t="shared" si="2"/>
        <v>2</v>
      </c>
      <c r="F12" s="22">
        <f t="shared" si="2"/>
        <v>4</v>
      </c>
      <c r="G12" s="22">
        <f t="shared" si="2"/>
        <v>5</v>
      </c>
      <c r="H12" s="22">
        <f t="shared" si="2"/>
        <v>5</v>
      </c>
      <c r="I12" s="22">
        <f t="shared" si="2"/>
        <v>2</v>
      </c>
      <c r="J12" s="22">
        <f t="shared" si="2"/>
        <v>0</v>
      </c>
      <c r="K12" s="23" t="s">
        <v>17</v>
      </c>
      <c r="L12" s="22">
        <f>SUM(L8:L11)</f>
        <v>4</v>
      </c>
    </row>
    <row r="13" spans="1:12" ht="38.25">
      <c r="A13" s="11" t="s">
        <v>47</v>
      </c>
      <c r="B13" s="24">
        <v>5</v>
      </c>
      <c r="C13" s="25" t="s">
        <v>16</v>
      </c>
      <c r="D13" s="14">
        <v>3</v>
      </c>
      <c r="E13" s="14">
        <v>1</v>
      </c>
      <c r="F13" s="14">
        <v>1</v>
      </c>
      <c r="G13" s="14">
        <v>1</v>
      </c>
      <c r="H13" s="14">
        <v>0</v>
      </c>
      <c r="I13" s="14">
        <v>0</v>
      </c>
      <c r="J13" s="14">
        <v>0</v>
      </c>
      <c r="K13" s="25" t="s">
        <v>17</v>
      </c>
      <c r="L13" s="14">
        <v>1</v>
      </c>
    </row>
    <row r="14" spans="1:12" ht="25.5">
      <c r="A14" s="11" t="s">
        <v>48</v>
      </c>
      <c r="B14" s="24">
        <v>5</v>
      </c>
      <c r="C14" s="25" t="s">
        <v>16</v>
      </c>
      <c r="D14" s="14">
        <v>2</v>
      </c>
      <c r="E14" s="14">
        <v>1</v>
      </c>
      <c r="F14" s="14">
        <v>3</v>
      </c>
      <c r="G14" s="14">
        <v>3</v>
      </c>
      <c r="H14" s="14">
        <v>3</v>
      </c>
      <c r="I14" s="14">
        <v>0</v>
      </c>
      <c r="J14" s="14">
        <v>0</v>
      </c>
      <c r="K14" s="25" t="s">
        <v>17</v>
      </c>
      <c r="L14" s="14">
        <v>1</v>
      </c>
    </row>
    <row r="15" spans="1:12" ht="38.25">
      <c r="A15" s="11" t="s">
        <v>49</v>
      </c>
      <c r="B15" s="24">
        <v>5</v>
      </c>
      <c r="C15" s="25" t="s">
        <v>16</v>
      </c>
      <c r="D15" s="14">
        <v>2</v>
      </c>
      <c r="E15" s="14">
        <v>0</v>
      </c>
      <c r="F15" s="14">
        <v>0</v>
      </c>
      <c r="G15" s="14">
        <v>1</v>
      </c>
      <c r="H15" s="14">
        <v>1</v>
      </c>
      <c r="I15" s="14">
        <v>0</v>
      </c>
      <c r="J15" s="14">
        <v>0</v>
      </c>
      <c r="K15" s="25" t="s">
        <v>17</v>
      </c>
      <c r="L15" s="14">
        <v>1</v>
      </c>
    </row>
    <row r="16" spans="1:12" ht="51">
      <c r="A16" s="11" t="s">
        <v>50</v>
      </c>
      <c r="B16" s="24">
        <v>5</v>
      </c>
      <c r="C16" s="25" t="s">
        <v>16</v>
      </c>
      <c r="D16" s="14">
        <v>3</v>
      </c>
      <c r="E16" s="14">
        <v>0</v>
      </c>
      <c r="F16" s="14">
        <v>0</v>
      </c>
      <c r="G16" s="14">
        <v>0</v>
      </c>
      <c r="H16" s="14">
        <v>1</v>
      </c>
      <c r="I16" s="14">
        <v>2</v>
      </c>
      <c r="J16" s="14">
        <v>0</v>
      </c>
      <c r="K16" s="25" t="s">
        <v>17</v>
      </c>
      <c r="L16" s="14">
        <v>1</v>
      </c>
    </row>
    <row r="17" spans="1:12" ht="26.25">
      <c r="A17" s="13" t="s">
        <v>60</v>
      </c>
      <c r="B17" s="21">
        <v>13</v>
      </c>
      <c r="C17" s="22" t="s">
        <v>16</v>
      </c>
      <c r="D17" s="22">
        <f t="shared" ref="D17:J17" si="3">SUM(D18:D21)</f>
        <v>14</v>
      </c>
      <c r="E17" s="22">
        <f t="shared" si="3"/>
        <v>3</v>
      </c>
      <c r="F17" s="22">
        <f t="shared" si="3"/>
        <v>3</v>
      </c>
      <c r="G17" s="22">
        <f t="shared" si="3"/>
        <v>4</v>
      </c>
      <c r="H17" s="22">
        <f t="shared" si="3"/>
        <v>3</v>
      </c>
      <c r="I17" s="22">
        <f t="shared" si="3"/>
        <v>1</v>
      </c>
      <c r="J17" s="22">
        <f t="shared" si="3"/>
        <v>0</v>
      </c>
      <c r="K17" s="23" t="s">
        <v>17</v>
      </c>
      <c r="L17" s="22">
        <f>SUM(L13:L16)</f>
        <v>4</v>
      </c>
    </row>
    <row r="18" spans="1:12" ht="25.5">
      <c r="A18" s="11" t="s">
        <v>51</v>
      </c>
      <c r="B18" s="24">
        <v>13</v>
      </c>
      <c r="C18" s="25" t="s">
        <v>16</v>
      </c>
      <c r="D18" s="14">
        <v>4</v>
      </c>
      <c r="E18" s="14">
        <v>2</v>
      </c>
      <c r="F18" s="14">
        <v>1</v>
      </c>
      <c r="G18" s="14">
        <v>1</v>
      </c>
      <c r="H18" s="14">
        <v>0</v>
      </c>
      <c r="I18" s="14">
        <v>0</v>
      </c>
      <c r="J18" s="14">
        <v>0</v>
      </c>
      <c r="K18" s="25" t="s">
        <v>17</v>
      </c>
      <c r="L18" s="14">
        <v>1</v>
      </c>
    </row>
    <row r="19" spans="1:12" ht="25.5">
      <c r="A19" s="11" t="s">
        <v>52</v>
      </c>
      <c r="B19" s="24">
        <v>13</v>
      </c>
      <c r="C19" s="25" t="s">
        <v>16</v>
      </c>
      <c r="D19" s="14">
        <v>4</v>
      </c>
      <c r="E19" s="14">
        <v>1</v>
      </c>
      <c r="F19" s="14">
        <v>1</v>
      </c>
      <c r="G19" s="14">
        <v>1</v>
      </c>
      <c r="H19" s="14">
        <v>1</v>
      </c>
      <c r="I19" s="14">
        <v>0</v>
      </c>
      <c r="J19" s="14">
        <v>0</v>
      </c>
      <c r="K19" s="25" t="s">
        <v>17</v>
      </c>
      <c r="L19" s="14">
        <v>1</v>
      </c>
    </row>
    <row r="20" spans="1:12" ht="38.25">
      <c r="A20" s="11" t="s">
        <v>53</v>
      </c>
      <c r="B20" s="24">
        <v>13</v>
      </c>
      <c r="C20" s="25" t="s">
        <v>16</v>
      </c>
      <c r="D20" s="14">
        <v>3</v>
      </c>
      <c r="E20" s="14">
        <v>0</v>
      </c>
      <c r="F20" s="14">
        <v>1</v>
      </c>
      <c r="G20" s="14">
        <v>1</v>
      </c>
      <c r="H20" s="14">
        <v>1</v>
      </c>
      <c r="I20" s="14">
        <v>0</v>
      </c>
      <c r="J20" s="14">
        <v>0</v>
      </c>
      <c r="K20" s="25" t="s">
        <v>17</v>
      </c>
      <c r="L20" s="14">
        <v>1</v>
      </c>
    </row>
    <row r="21" spans="1:12" ht="38.25">
      <c r="A21" s="11" t="s">
        <v>54</v>
      </c>
      <c r="B21" s="24">
        <v>13</v>
      </c>
      <c r="C21" s="25" t="s">
        <v>16</v>
      </c>
      <c r="D21" s="14">
        <v>3</v>
      </c>
      <c r="E21" s="14">
        <v>0</v>
      </c>
      <c r="F21" s="14">
        <v>0</v>
      </c>
      <c r="G21" s="14">
        <v>1</v>
      </c>
      <c r="H21" s="14">
        <v>1</v>
      </c>
      <c r="I21" s="14">
        <v>1</v>
      </c>
      <c r="J21" s="14">
        <v>0</v>
      </c>
      <c r="K21" s="25" t="s">
        <v>17</v>
      </c>
      <c r="L21" s="14">
        <v>1</v>
      </c>
    </row>
    <row r="22" spans="1:12" ht="26.25">
      <c r="A22" s="13" t="s">
        <v>37</v>
      </c>
      <c r="B22" s="21">
        <v>8</v>
      </c>
      <c r="C22" s="22" t="s">
        <v>16</v>
      </c>
      <c r="D22" s="22">
        <f t="shared" ref="D22:J22" si="4">SUM(D23:D25)</f>
        <v>8</v>
      </c>
      <c r="E22" s="22">
        <f t="shared" si="4"/>
        <v>2</v>
      </c>
      <c r="F22" s="22">
        <f t="shared" si="4"/>
        <v>2</v>
      </c>
      <c r="G22" s="22">
        <f t="shared" si="4"/>
        <v>2</v>
      </c>
      <c r="H22" s="22">
        <f t="shared" si="4"/>
        <v>1</v>
      </c>
      <c r="I22" s="22">
        <f t="shared" si="4"/>
        <v>1</v>
      </c>
      <c r="J22" s="22">
        <f t="shared" si="4"/>
        <v>0</v>
      </c>
      <c r="K22" s="23" t="s">
        <v>17</v>
      </c>
      <c r="L22" s="22">
        <f>SUM(L18:L21)</f>
        <v>4</v>
      </c>
    </row>
    <row r="23" spans="1:12" ht="38.25">
      <c r="A23" s="11" t="s">
        <v>55</v>
      </c>
      <c r="B23" s="24">
        <v>8</v>
      </c>
      <c r="C23" s="25" t="s">
        <v>16</v>
      </c>
      <c r="D23" s="14">
        <v>2</v>
      </c>
      <c r="E23" s="14">
        <v>1</v>
      </c>
      <c r="F23" s="14">
        <v>1</v>
      </c>
      <c r="G23" s="14">
        <v>0</v>
      </c>
      <c r="H23" s="14">
        <v>0</v>
      </c>
      <c r="I23" s="14">
        <v>0</v>
      </c>
      <c r="J23" s="14">
        <v>0</v>
      </c>
      <c r="K23" s="25" t="s">
        <v>17</v>
      </c>
      <c r="L23" s="14">
        <v>1</v>
      </c>
    </row>
    <row r="24" spans="1:12" ht="51">
      <c r="A24" s="11" t="s">
        <v>56</v>
      </c>
      <c r="B24" s="24">
        <v>8</v>
      </c>
      <c r="C24" s="25" t="s">
        <v>16</v>
      </c>
      <c r="D24" s="14">
        <v>3</v>
      </c>
      <c r="E24" s="14">
        <v>1</v>
      </c>
      <c r="F24" s="14">
        <v>0</v>
      </c>
      <c r="G24" s="14">
        <v>1</v>
      </c>
      <c r="H24" s="14">
        <v>1</v>
      </c>
      <c r="I24" s="14">
        <v>0</v>
      </c>
      <c r="J24" s="14">
        <v>0</v>
      </c>
      <c r="K24" s="25" t="s">
        <v>17</v>
      </c>
      <c r="L24" s="14">
        <v>1</v>
      </c>
    </row>
    <row r="25" spans="1:12" ht="38.25">
      <c r="A25" s="11" t="s">
        <v>57</v>
      </c>
      <c r="B25" s="24">
        <v>8</v>
      </c>
      <c r="C25" s="25" t="s">
        <v>16</v>
      </c>
      <c r="D25" s="14">
        <v>3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0</v>
      </c>
      <c r="K25" s="25" t="s">
        <v>17</v>
      </c>
      <c r="L25" s="14">
        <v>1</v>
      </c>
    </row>
    <row r="26" spans="1:12">
      <c r="A26" s="12" t="s">
        <v>14</v>
      </c>
      <c r="B26" s="26"/>
      <c r="C26" s="26"/>
      <c r="D26" s="27">
        <f t="shared" ref="D26:J26" si="5">D4+D7+D12+D17+D22</f>
        <v>46</v>
      </c>
      <c r="E26" s="27">
        <f t="shared" si="5"/>
        <v>10</v>
      </c>
      <c r="F26" s="27">
        <f t="shared" si="5"/>
        <v>12</v>
      </c>
      <c r="G26" s="27">
        <f t="shared" si="5"/>
        <v>15</v>
      </c>
      <c r="H26" s="27">
        <f t="shared" si="5"/>
        <v>13</v>
      </c>
      <c r="I26" s="27">
        <f t="shared" si="5"/>
        <v>7</v>
      </c>
      <c r="J26" s="27">
        <f t="shared" si="5"/>
        <v>0</v>
      </c>
      <c r="K26" s="26"/>
      <c r="L26" s="27">
        <f>SUM(L22,L17,L12,L7)</f>
        <v>14</v>
      </c>
    </row>
  </sheetData>
  <mergeCells count="2">
    <mergeCell ref="A1:L1"/>
    <mergeCell ref="A2:L2"/>
  </mergeCells>
  <dataValidations count="1">
    <dataValidation type="list" allowBlank="1" showErrorMessage="1" sqref="K4:K25" xr:uid="{FD3B23BF-4853-4659-9912-20F6DD4056B4}">
      <formula1>"To Do,Doing,Done"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Blaise Parsell</cp:lastModifiedBy>
  <cp:lastPrinted>2025-12-02T08:57:13Z</cp:lastPrinted>
  <dcterms:modified xsi:type="dcterms:W3CDTF">2025-12-03T02:49:23Z</dcterms:modified>
</cp:coreProperties>
</file>